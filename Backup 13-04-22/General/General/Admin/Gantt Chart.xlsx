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31"/>
  <workbookPr filterPrivacy="1" codeName="ThisWorkbook"/>
  <xr:revisionPtr revIDLastSave="399" documentId="8_{1C7283D8-7392-4180-B492-F51F85C99067}" xr6:coauthVersionLast="47" xr6:coauthVersionMax="47" xr10:uidLastSave="{D5384327-7AB8-477E-9523-D754CD32B99C}"/>
  <bookViews>
    <workbookView xWindow="-40" yWindow="-21710" windowWidth="38620" windowHeight="2122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25" i="11" l="1"/>
  <c r="E32" i="11"/>
  <c r="E27" i="11"/>
  <c r="E26" i="11"/>
  <c r="E9" i="11"/>
  <c r="H7" i="11"/>
  <c r="H8" i="11"/>
  <c r="H18" i="11"/>
  <c r="H31" i="11"/>
  <c r="H39" i="11"/>
  <c r="H44" i="11"/>
  <c r="E23" i="11" l="1"/>
  <c r="E25" i="11"/>
  <c r="E24" i="11"/>
  <c r="E21" i="11"/>
  <c r="E22" i="11"/>
  <c r="E19" i="11"/>
  <c r="E20" i="11"/>
  <c r="F10" i="11"/>
  <c r="F17" i="11"/>
  <c r="E10" i="11"/>
  <c r="F15" i="11"/>
  <c r="F16" i="11"/>
  <c r="F11" i="11"/>
  <c r="F12" i="11"/>
  <c r="F9" i="11"/>
  <c r="E15" i="11"/>
  <c r="E16" i="11"/>
  <c r="E13" i="11"/>
  <c r="E14" i="11"/>
  <c r="E11" i="11"/>
  <c r="E12" i="11"/>
  <c r="E17" i="11"/>
  <c r="H9" i="11"/>
  <c r="H10" i="11" l="1"/>
  <c r="H11" i="11" l="1"/>
  <c r="H12" i="11" l="1"/>
  <c r="M6" i="11" l="1"/>
  <c r="H22" i="11" l="1"/>
</calcChain>
</file>

<file path=xl/sharedStrings.xml><?xml version="1.0" encoding="utf-8"?>
<sst xmlns="http://schemas.openxmlformats.org/spreadsheetml/2006/main" count="117" uniqueCount="103">
  <si>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</si>
  <si>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W / Friends</t>
  </si>
  <si>
    <t>SIMPLE GANTT CHART by Vertex42.com</t>
  </si>
  <si>
    <t>Enter Company Name in cell B2.</t>
  </si>
  <si>
    <t>mboRijnland</t>
  </si>
  <si>
    <t>https://www.vertex42.com/ExcelTemplates/simple-gantt-chart.html</t>
  </si>
  <si>
    <t>Enter the name of the Project Lead in cell B3. Enter the Project Start date in cell E3. Project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</si>
  <si>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</si>
  <si>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</si>
  <si>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</si>
  <si>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</si>
  <si>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</si>
  <si>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</si>
  <si>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</si>
  <si>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</si>
  <si>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</si>
  <si>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</si>
  <si>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</si>
  <si>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M</t>
  </si>
  <si>
    <t>T</t>
  </si>
  <si>
    <t>W</t>
  </si>
  <si>
    <t>F</t>
  </si>
  <si>
    <t xml:space="preserve">Do not delete this row. This row is hidden to preserve a formula that is used to highlight the current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</si>
  <si>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</si>
  <si>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Phase 1 design</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</si>
  <si>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</si>
  <si>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Task 1 SiteMap</t>
  </si>
  <si>
    <t>Mick Davy</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</si>
  <si>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</si>
  <si>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Task 2 Mockups</t>
  </si>
  <si>
    <t>Jim Kenan / Marieke Brandon</t>
  </si>
  <si>
    <t>Task 3 Wireframes</t>
  </si>
  <si>
    <t>Task 4 UserStories</t>
  </si>
  <si>
    <t>Task 5 SetServer</t>
  </si>
  <si>
    <t>Jakub Marly</t>
  </si>
  <si>
    <t>Task 6 SecurityServer/Firewall</t>
  </si>
  <si>
    <t>Michael Liam / Lux Mick</t>
  </si>
  <si>
    <t>Task 7 ERD</t>
  </si>
  <si>
    <t>Daan Marly</t>
  </si>
  <si>
    <t>Task 8 Class Diagrams</t>
  </si>
  <si>
    <t>Task 9 Mood Board</t>
  </si>
  <si>
    <t>Marieke Davy</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</si>
  <si>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</si>
  <si>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Phase 2 development</t>
  </si>
  <si>
    <t>Task 1 Database</t>
  </si>
  <si>
    <t xml:space="preserve">Daan </t>
  </si>
  <si>
    <t>03/31/2022</t>
  </si>
  <si>
    <t>Task 2 Login</t>
  </si>
  <si>
    <t>Davy</t>
  </si>
  <si>
    <t>Task 3 Register</t>
  </si>
  <si>
    <t>Task 4 Home / Map</t>
  </si>
  <si>
    <t>Liam Jim Max</t>
  </si>
  <si>
    <t>Task 5 Friend List</t>
  </si>
  <si>
    <t>Kenan Daan</t>
  </si>
  <si>
    <t>Task 6 Header / Footer</t>
  </si>
  <si>
    <t>Brandon/Marieke</t>
  </si>
  <si>
    <t>Task 7 github</t>
  </si>
  <si>
    <t>Mick</t>
  </si>
  <si>
    <t>Task 8 Logo</t>
  </si>
  <si>
    <t xml:space="preserve">Marieke </t>
  </si>
  <si>
    <t>3/31/22</t>
  </si>
  <si>
    <t xml:space="preserve">Task 9 Edit account </t>
  </si>
  <si>
    <t>Lux</t>
  </si>
  <si>
    <t>Task 10 Contacts</t>
  </si>
  <si>
    <t>Jakub Brandon</t>
  </si>
  <si>
    <t>3/30/22</t>
  </si>
  <si>
    <t>Task 11 FAQ</t>
  </si>
  <si>
    <t>Jakub Brandon Marieke</t>
  </si>
  <si>
    <t>Task 12 Policies</t>
  </si>
  <si>
    <t>Michael</t>
  </si>
  <si>
    <t>Sample phase title block</t>
  </si>
  <si>
    <t>Phase 3 features</t>
  </si>
  <si>
    <t>Task 1 CHAPTCHA</t>
  </si>
  <si>
    <t>Task 2 QR code 6-digits</t>
  </si>
  <si>
    <t>Davy Marieke</t>
  </si>
  <si>
    <t>Task 3 Messages</t>
  </si>
  <si>
    <t>Marly Max</t>
  </si>
  <si>
    <t>Task 4 Registration Message</t>
  </si>
  <si>
    <t>Task 5  Android app</t>
  </si>
  <si>
    <t>Giorgio</t>
  </si>
  <si>
    <t>Task 6 Compliance</t>
  </si>
  <si>
    <t>Micheal</t>
  </si>
  <si>
    <t>Task 7  iOS app</t>
  </si>
  <si>
    <t>Phase 4 Checking</t>
  </si>
  <si>
    <t>Task 1 Testing</t>
  </si>
  <si>
    <t>Phase 5 Final</t>
  </si>
  <si>
    <t>Task 1 Implementation</t>
  </si>
  <si>
    <t>Task 2 Delivery</t>
  </si>
  <si>
    <t>This row marks the end of the Project Schedule. DO NOT enter anything in this row. 
Insert new rows ABOVE this one to continue building out your Project Schedule.</t>
  </si>
  <si>
    <t>Insert new rows ABOVE this one</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</si>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</sst>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8">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sz val="11"/>
      <color rgb="FFE2EFDA"/>
      <name val="Calibri"/>
      <family val="2"/>
      <scheme val="minor"/>
    </font>
    <font>
      <sz val="11"/>
      <color rgb="FFFCE4D6"/>
      <name val="Calibri"/>
      <family val="2"/>
      <scheme val="minor"/>
    </font>
    <font>
      <sz val="11"/>
      <color rgb="FF000000"/>
      <name val="Calibri"/>
      <family val="2"/>
      <scheme val="minor"/>
    </font>
  </fonts>
  <fills count="2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FFFFFF"/>
        <bgColor indexed="64"/>
      </patternFill>
    </fill>
    <fill>
      <patternFill patternType="solid">
        <fgColor rgb="FF4472C4"/>
        <bgColor indexed="64"/>
      </patternFill>
    </fill>
    <fill>
      <patternFill patternType="solid">
        <fgColor rgb="FFFCE4D6"/>
        <bgColor indexed="64"/>
      </patternFill>
    </fill>
    <fill>
      <patternFill patternType="solid">
        <fgColor rgb="FFF4B084"/>
        <bgColor indexed="64"/>
      </patternFill>
    </fill>
    <fill>
      <patternFill patternType="solid">
        <fgColor rgb="FFE2EFDA"/>
        <bgColor indexed="64"/>
      </patternFill>
    </fill>
    <fill>
      <patternFill patternType="solid">
        <fgColor rgb="FF978D99"/>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0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6" xfId="0" applyNumberFormat="1" applyFont="1" applyFill="1" applyBorder="1" applyAlignment="1">
      <alignment horizontal="center" vertical="center"/>
    </xf>
    <xf numFmtId="168"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5" fontId="0" fillId="8" borderId="2" xfId="0" applyNumberFormat="1" applyFill="1" applyBorder="1" applyAlignment="1">
      <alignment horizontal="center" vertical="center"/>
    </xf>
    <xf numFmtId="165"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5" fontId="0" fillId="9" borderId="2" xfId="0" applyNumberFormat="1" applyFill="1" applyBorder="1" applyAlignment="1">
      <alignment horizontal="center" vertical="center"/>
    </xf>
    <xf numFmtId="165"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5" fontId="0" fillId="6" borderId="2" xfId="0" applyNumberFormat="1" applyFill="1" applyBorder="1" applyAlignment="1">
      <alignment horizontal="center" vertical="center"/>
    </xf>
    <xf numFmtId="165"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5" fontId="0" fillId="5" borderId="2" xfId="0" applyNumberFormat="1" applyFill="1" applyBorder="1" applyAlignment="1">
      <alignment horizontal="center" vertical="center"/>
    </xf>
    <xf numFmtId="165"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5" fontId="9" fillId="3" borderId="2" xfId="10" applyFill="1">
      <alignment horizontal="center" vertical="center"/>
    </xf>
    <xf numFmtId="165" fontId="9" fillId="4" borderId="2" xfId="10" applyFill="1">
      <alignment horizontal="center" vertical="center"/>
    </xf>
    <xf numFmtId="165" fontId="9" fillId="11" borderId="2" xfId="10" applyFill="1">
      <alignment horizontal="center" vertical="center"/>
    </xf>
    <xf numFmtId="165" fontId="9" fillId="10" borderId="2" xfId="10" applyFill="1">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0" fontId="0" fillId="14" borderId="9" xfId="0" applyFill="1" applyBorder="1" applyAlignment="1">
      <alignment vertical="center"/>
    </xf>
    <xf numFmtId="0" fontId="0" fillId="15" borderId="9" xfId="0" applyFill="1" applyBorder="1" applyAlignment="1">
      <alignment vertical="center"/>
    </xf>
    <xf numFmtId="0" fontId="0" fillId="16" borderId="9" xfId="0" applyFill="1" applyBorder="1" applyAlignment="1">
      <alignment vertical="center"/>
    </xf>
    <xf numFmtId="0" fontId="9" fillId="4" borderId="2" xfId="12" applyFill="1" applyAlignment="1">
      <alignment horizontal="center" vertical="center" indent="2"/>
    </xf>
    <xf numFmtId="0" fontId="6" fillId="17" borderId="2" xfId="0" applyFont="1" applyFill="1" applyBorder="1" applyAlignment="1">
      <alignment horizontal="left" vertical="center" indent="1"/>
    </xf>
    <xf numFmtId="0" fontId="9" fillId="17" borderId="2" xfId="11" applyFill="1">
      <alignment horizontal="center" vertical="center"/>
    </xf>
    <xf numFmtId="0" fontId="9" fillId="16" borderId="2" xfId="12" applyFill="1">
      <alignment horizontal="left" vertical="center" indent="2"/>
    </xf>
    <xf numFmtId="0" fontId="9" fillId="16" borderId="2" xfId="11" applyFill="1">
      <alignment horizontal="center" vertical="center"/>
    </xf>
    <xf numFmtId="9" fontId="5" fillId="16" borderId="2" xfId="2" applyFont="1" applyFill="1" applyBorder="1" applyAlignment="1">
      <alignment horizontal="center" vertical="center"/>
    </xf>
    <xf numFmtId="165" fontId="9" fillId="16" borderId="2" xfId="10" applyFill="1">
      <alignment horizontal="center" vertical="center"/>
    </xf>
    <xf numFmtId="0" fontId="0" fillId="18" borderId="9" xfId="0" applyFill="1" applyBorder="1" applyAlignment="1">
      <alignment vertical="center"/>
    </xf>
    <xf numFmtId="0" fontId="25" fillId="18" borderId="9" xfId="0" applyFont="1" applyFill="1" applyBorder="1" applyAlignment="1">
      <alignment vertical="center"/>
    </xf>
    <xf numFmtId="0" fontId="26" fillId="16" borderId="9" xfId="0" applyFont="1" applyFill="1" applyBorder="1" applyAlignment="1">
      <alignment vertical="center"/>
    </xf>
    <xf numFmtId="0" fontId="0" fillId="19" borderId="9" xfId="0" applyFill="1" applyBorder="1" applyAlignment="1">
      <alignment vertical="center"/>
    </xf>
    <xf numFmtId="167" fontId="0" fillId="7" borderId="4" xfId="0" applyNumberFormat="1" applyFill="1" applyBorder="1" applyAlignment="1">
      <alignment horizontal="left" vertical="center" wrapText="1" indent="1"/>
    </xf>
    <xf numFmtId="167" fontId="0" fillId="7" borderId="1" xfId="0" applyNumberFormat="1" applyFill="1" applyBorder="1" applyAlignment="1">
      <alignment horizontal="left" vertical="center" wrapText="1" indent="1"/>
    </xf>
    <xf numFmtId="167" fontId="0" fillId="7" borderId="5" xfId="0" applyNumberFormat="1" applyFill="1" applyBorder="1" applyAlignment="1">
      <alignment horizontal="left" vertical="center" wrapText="1" indent="1"/>
    </xf>
    <xf numFmtId="165" fontId="27" fillId="16" borderId="2" xfId="10" applyFont="1" applyFill="1">
      <alignment horizontal="center" vertical="center"/>
    </xf>
    <xf numFmtId="0" fontId="9" fillId="0" borderId="0" xfId="8" applyAlignment="1">
      <alignment horizontal="right" indent="1"/>
    </xf>
    <xf numFmtId="0" fontId="9" fillId="0" borderId="7" xfId="8" applyBorder="1" applyAlignment="1">
      <alignment horizontal="right" indent="1"/>
    </xf>
    <xf numFmtId="166" fontId="9" fillId="0" borderId="3" xfId="9"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7">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rgb="FFC00000"/>
        </left>
        <right style="thin">
          <color rgb="FFC00000"/>
        </right>
        <vertical/>
        <horizontal/>
      </border>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secondRowStripe" dxfId="10"/>
      <tableStyleElement type="firstColumnStripe" dxfId="9"/>
      <tableStyleElement type="secondColumnStripe"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978D99"/>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AJ47"/>
  <sheetViews>
    <sheetView showGridLines="0" tabSelected="1" showRuler="0" zoomScaleNormal="100" zoomScalePageLayoutView="70" workbookViewId="0">
      <pane ySplit="6" topLeftCell="A36" activePane="bottomLeft" state="frozen"/>
      <selection pane="bottomLeft" activeCell="F42" sqref="F42"/>
    </sheetView>
  </sheetViews>
  <sheetFormatPr defaultRowHeight="30" customHeight="1"/>
  <cols>
    <col min="1" max="1" width="2.7109375" style="57" customWidth="1"/>
    <col min="2" max="2" width="31.85546875" customWidth="1"/>
    <col min="3" max="3" width="28.5703125" customWidth="1"/>
    <col min="4" max="4" width="10.7109375" customWidth="1"/>
    <col min="5" max="5" width="17.28515625" style="5" customWidth="1"/>
    <col min="6" max="6" width="8.28515625" customWidth="1"/>
    <col min="7" max="7" width="5.5703125" hidden="1" customWidth="1"/>
    <col min="8" max="8" width="7.28515625" customWidth="1"/>
    <col min="9" max="9" width="6.28515625" customWidth="1"/>
    <col min="10" max="10" width="5.85546875" customWidth="1"/>
    <col min="11" max="11" width="7.28515625" customWidth="1"/>
    <col min="12" max="12" width="6.7109375" customWidth="1"/>
    <col min="13" max="13" width="5.5703125" customWidth="1"/>
    <col min="14" max="15" width="2.5703125" customWidth="1"/>
    <col min="16" max="16" width="7.140625" customWidth="1"/>
    <col min="17" max="17" width="6.7109375" customWidth="1"/>
    <col min="18" max="18" width="7.140625" customWidth="1"/>
    <col min="19" max="19" width="8.85546875" customWidth="1"/>
    <col min="20" max="20" width="8.42578125" customWidth="1"/>
    <col min="21" max="21" width="3.5703125" customWidth="1"/>
    <col min="22" max="22" width="3.28515625" customWidth="1"/>
  </cols>
  <sheetData>
    <row r="1" spans="1:36" ht="27" customHeight="1">
      <c r="A1" s="58" t="s">
        <v>0</v>
      </c>
      <c r="B1" s="61" t="s">
        <v>1</v>
      </c>
      <c r="C1" s="1"/>
      <c r="D1" s="2"/>
      <c r="E1" s="4"/>
      <c r="F1" s="46"/>
      <c r="H1" s="2"/>
      <c r="I1" s="81" t="s">
        <v>2</v>
      </c>
    </row>
    <row r="2" spans="1:36" ht="24.75" customHeight="1">
      <c r="A2" s="57" t="s">
        <v>3</v>
      </c>
      <c r="B2" s="62" t="s">
        <v>4</v>
      </c>
      <c r="I2" s="82" t="s">
        <v>5</v>
      </c>
    </row>
    <row r="3" spans="1:36" ht="18" customHeight="1">
      <c r="A3" s="57" t="s">
        <v>6</v>
      </c>
      <c r="B3" s="63"/>
      <c r="C3" s="102" t="s">
        <v>7</v>
      </c>
      <c r="D3" s="103"/>
      <c r="E3" s="104">
        <v>44648</v>
      </c>
      <c r="F3" s="104"/>
    </row>
    <row r="4" spans="1:36" ht="23.25" customHeight="1">
      <c r="A4" s="58" t="s">
        <v>8</v>
      </c>
      <c r="C4" s="102" t="s">
        <v>9</v>
      </c>
      <c r="D4" s="103"/>
      <c r="E4" s="7">
        <v>2</v>
      </c>
      <c r="I4" s="98">
        <v>44648</v>
      </c>
      <c r="J4" s="99"/>
      <c r="K4" s="99"/>
      <c r="L4" s="99"/>
      <c r="M4" s="99"/>
      <c r="N4" s="99"/>
      <c r="O4" s="100"/>
      <c r="P4" s="98">
        <v>44655</v>
      </c>
      <c r="Q4" s="99"/>
      <c r="R4" s="99"/>
      <c r="S4" s="99"/>
      <c r="T4" s="99"/>
      <c r="U4" s="99"/>
      <c r="V4" s="100"/>
    </row>
    <row r="5" spans="1:36" ht="15" customHeight="1">
      <c r="A5" s="58" t="s">
        <v>10</v>
      </c>
      <c r="B5" s="80"/>
      <c r="C5" s="80"/>
      <c r="D5" s="80"/>
      <c r="E5" s="80"/>
      <c r="F5" s="80"/>
      <c r="G5" s="80"/>
      <c r="I5" s="11">
        <v>1</v>
      </c>
      <c r="J5" s="10">
        <v>2</v>
      </c>
      <c r="K5" s="10">
        <v>3</v>
      </c>
      <c r="L5" s="10">
        <v>5</v>
      </c>
      <c r="M5" s="10">
        <v>6</v>
      </c>
      <c r="N5" s="10">
        <v>7</v>
      </c>
      <c r="O5" s="12">
        <v>8</v>
      </c>
      <c r="P5" s="11">
        <v>9</v>
      </c>
      <c r="Q5" s="10">
        <v>10</v>
      </c>
      <c r="R5" s="10">
        <v>11</v>
      </c>
      <c r="S5" s="10">
        <v>12</v>
      </c>
      <c r="T5" s="10">
        <v>13</v>
      </c>
      <c r="U5" s="10"/>
      <c r="V5" s="12"/>
    </row>
    <row r="6" spans="1:36" ht="30" customHeight="1">
      <c r="A6" s="58" t="s">
        <v>11</v>
      </c>
      <c r="B6" s="8" t="s">
        <v>12</v>
      </c>
      <c r="C6" s="9" t="s">
        <v>13</v>
      </c>
      <c r="D6" s="9" t="s">
        <v>14</v>
      </c>
      <c r="E6" s="9" t="s">
        <v>15</v>
      </c>
      <c r="F6" s="9" t="s">
        <v>16</v>
      </c>
      <c r="G6" s="9"/>
      <c r="H6" s="9" t="s">
        <v>17</v>
      </c>
      <c r="I6" s="13" t="s">
        <v>18</v>
      </c>
      <c r="J6" s="13" t="s">
        <v>19</v>
      </c>
      <c r="K6" s="13" t="s">
        <v>20</v>
      </c>
      <c r="L6" s="13" t="s">
        <v>19</v>
      </c>
      <c r="M6" s="13" t="str">
        <f t="shared" ref="I6:M6" si="0">LEFT(TEXT(M5,"ddd"),1)</f>
        <v>F</v>
      </c>
      <c r="N6" s="13"/>
      <c r="O6" s="13"/>
      <c r="P6" s="13" t="s">
        <v>18</v>
      </c>
      <c r="Q6" s="13" t="s">
        <v>19</v>
      </c>
      <c r="R6" s="13" t="s">
        <v>20</v>
      </c>
      <c r="S6" s="13" t="s">
        <v>19</v>
      </c>
      <c r="T6" s="13" t="s">
        <v>21</v>
      </c>
      <c r="U6" s="13"/>
      <c r="V6" s="13"/>
    </row>
    <row r="7" spans="1:36" ht="30" hidden="1" customHeight="1">
      <c r="A7" s="57" t="s">
        <v>22</v>
      </c>
      <c r="C7" s="60"/>
      <c r="E7"/>
      <c r="H7" t="str">
        <f ca="1">IF(OR(ISBLANK(task_start),ISBLANK(task_end)),"",task_end-task_start+1)</f>
        <v/>
      </c>
      <c r="I7" s="43"/>
      <c r="J7" s="43"/>
      <c r="K7" s="43"/>
      <c r="L7" s="43"/>
      <c r="M7" s="43"/>
      <c r="N7" s="43"/>
      <c r="O7" s="43"/>
      <c r="P7" s="43"/>
      <c r="Q7" s="43"/>
      <c r="R7" s="43"/>
      <c r="S7" s="43"/>
      <c r="T7" s="43"/>
      <c r="U7" s="43"/>
      <c r="V7" s="43"/>
    </row>
    <row r="8" spans="1:36" s="3" customFormat="1" ht="30" customHeight="1">
      <c r="A8" s="58" t="s">
        <v>23</v>
      </c>
      <c r="B8" s="17" t="s">
        <v>24</v>
      </c>
      <c r="C8" s="68"/>
      <c r="D8" s="18"/>
      <c r="E8" s="19"/>
      <c r="F8" s="20"/>
      <c r="G8" s="16"/>
      <c r="H8" s="16" t="str">
        <f t="shared" ref="H8:H44" ca="1" si="1">IF(OR(ISBLANK(task_start),ISBLANK(task_end)),"",task_end-task_start+1)</f>
        <v/>
      </c>
      <c r="I8" s="43"/>
      <c r="J8" s="43"/>
      <c r="K8" s="43"/>
      <c r="L8" s="43"/>
      <c r="M8" s="43"/>
      <c r="N8" s="43"/>
      <c r="O8" s="43"/>
      <c r="P8" s="43"/>
      <c r="Q8" s="43"/>
      <c r="R8" s="43"/>
      <c r="S8" s="84"/>
      <c r="T8" s="43"/>
      <c r="U8" s="43"/>
      <c r="V8" s="43"/>
      <c r="W8"/>
      <c r="X8"/>
      <c r="Y8"/>
      <c r="Z8"/>
      <c r="AA8"/>
      <c r="AB8"/>
      <c r="AC8"/>
      <c r="AD8"/>
      <c r="AE8"/>
      <c r="AF8"/>
      <c r="AG8"/>
      <c r="AH8"/>
      <c r="AI8"/>
      <c r="AJ8"/>
    </row>
    <row r="9" spans="1:36" s="3" customFormat="1" ht="30" customHeight="1">
      <c r="A9" s="58" t="s">
        <v>25</v>
      </c>
      <c r="B9" s="76" t="s">
        <v>26</v>
      </c>
      <c r="C9" s="69" t="s">
        <v>27</v>
      </c>
      <c r="D9" s="21">
        <v>1</v>
      </c>
      <c r="E9" s="64">
        <f>Project_Start</f>
        <v>44648</v>
      </c>
      <c r="F9" s="64">
        <f>Project_Start+1</f>
        <v>44649</v>
      </c>
      <c r="G9" s="16"/>
      <c r="H9" s="16">
        <f t="shared" ca="1" si="1"/>
        <v>2</v>
      </c>
      <c r="I9" s="85"/>
      <c r="J9" s="85"/>
      <c r="K9" s="43"/>
      <c r="L9" s="43"/>
      <c r="M9" s="43"/>
      <c r="N9" s="43"/>
      <c r="O9" s="43"/>
      <c r="P9" s="43"/>
      <c r="Q9" s="43"/>
      <c r="R9" s="43"/>
      <c r="S9" s="84"/>
      <c r="T9" s="43"/>
      <c r="U9" s="43"/>
      <c r="V9" s="43"/>
      <c r="W9"/>
      <c r="X9"/>
      <c r="Y9"/>
      <c r="Z9"/>
      <c r="AA9"/>
      <c r="AB9"/>
      <c r="AC9"/>
      <c r="AD9"/>
      <c r="AE9"/>
      <c r="AF9"/>
      <c r="AG9"/>
      <c r="AH9"/>
      <c r="AI9"/>
      <c r="AJ9"/>
    </row>
    <row r="10" spans="1:36" s="3" customFormat="1" ht="30" customHeight="1">
      <c r="A10" s="58" t="s">
        <v>28</v>
      </c>
      <c r="B10" s="76" t="s">
        <v>29</v>
      </c>
      <c r="C10" s="69" t="s">
        <v>30</v>
      </c>
      <c r="D10" s="21">
        <v>1</v>
      </c>
      <c r="E10" s="64">
        <f>Project_Start</f>
        <v>44648</v>
      </c>
      <c r="F10" s="64">
        <f>Project_Start+1</f>
        <v>44649</v>
      </c>
      <c r="G10" s="16"/>
      <c r="H10" s="16">
        <f t="shared" ca="1" si="1"/>
        <v>2</v>
      </c>
      <c r="I10" s="85"/>
      <c r="J10" s="85"/>
      <c r="K10" s="43"/>
      <c r="L10" s="43"/>
      <c r="M10" s="43"/>
      <c r="N10" s="43"/>
      <c r="O10" s="43"/>
      <c r="P10" s="43"/>
      <c r="Q10" s="43"/>
      <c r="R10" s="43"/>
      <c r="S10" s="84"/>
      <c r="T10" s="43"/>
      <c r="U10" s="44"/>
      <c r="V10" s="44"/>
      <c r="W10"/>
      <c r="X10"/>
      <c r="Y10"/>
      <c r="Z10"/>
      <c r="AA10"/>
      <c r="AB10"/>
      <c r="AC10"/>
      <c r="AD10"/>
      <c r="AE10"/>
      <c r="AF10"/>
      <c r="AG10"/>
      <c r="AH10"/>
      <c r="AI10"/>
      <c r="AJ10"/>
    </row>
    <row r="11" spans="1:36" s="3" customFormat="1" ht="30" customHeight="1">
      <c r="A11" s="57"/>
      <c r="B11" s="76" t="s">
        <v>31</v>
      </c>
      <c r="C11" s="69" t="s">
        <v>30</v>
      </c>
      <c r="D11" s="21">
        <v>1</v>
      </c>
      <c r="E11" s="64">
        <f>Project_Start</f>
        <v>44648</v>
      </c>
      <c r="F11" s="64">
        <f>Project_Start+1</f>
        <v>44649</v>
      </c>
      <c r="G11" s="16"/>
      <c r="H11" s="16">
        <f t="shared" ca="1" si="1"/>
        <v>2</v>
      </c>
      <c r="I11" s="85"/>
      <c r="J11" s="85"/>
      <c r="K11" s="43"/>
      <c r="L11" s="43"/>
      <c r="M11" s="43"/>
      <c r="N11" s="43"/>
      <c r="O11" s="43"/>
      <c r="P11" s="43"/>
      <c r="Q11" s="43"/>
      <c r="R11" s="43"/>
      <c r="S11" s="84"/>
      <c r="T11" s="43"/>
      <c r="U11" s="43"/>
      <c r="V11" s="43"/>
      <c r="W11"/>
      <c r="X11"/>
      <c r="Y11"/>
      <c r="Z11"/>
      <c r="AA11"/>
      <c r="AB11"/>
      <c r="AC11"/>
      <c r="AD11"/>
      <c r="AE11"/>
      <c r="AF11"/>
      <c r="AG11"/>
      <c r="AH11"/>
      <c r="AI11"/>
      <c r="AJ11"/>
    </row>
    <row r="12" spans="1:36" s="3" customFormat="1" ht="30" customHeight="1">
      <c r="A12" s="57"/>
      <c r="B12" s="76" t="s">
        <v>32</v>
      </c>
      <c r="C12" s="69" t="s">
        <v>30</v>
      </c>
      <c r="D12" s="21">
        <v>1</v>
      </c>
      <c r="E12" s="64">
        <f>Project_Start</f>
        <v>44648</v>
      </c>
      <c r="F12" s="64">
        <f>Project_Start+1</f>
        <v>44649</v>
      </c>
      <c r="G12" s="16"/>
      <c r="H12" s="16">
        <f t="shared" ca="1" si="1"/>
        <v>2</v>
      </c>
      <c r="I12" s="85"/>
      <c r="J12" s="85"/>
      <c r="K12" s="43"/>
      <c r="L12" s="43"/>
      <c r="M12" s="43"/>
      <c r="N12" s="43"/>
      <c r="O12" s="43"/>
      <c r="P12" s="43"/>
      <c r="Q12" s="43"/>
      <c r="R12" s="43"/>
      <c r="S12" s="84"/>
      <c r="T12" s="43"/>
      <c r="U12" s="43"/>
      <c r="V12" s="43"/>
      <c r="W12"/>
      <c r="X12"/>
      <c r="Y12"/>
      <c r="Z12"/>
      <c r="AA12"/>
      <c r="AB12"/>
      <c r="AC12"/>
      <c r="AD12"/>
      <c r="AE12"/>
      <c r="AF12"/>
      <c r="AG12"/>
      <c r="AH12"/>
      <c r="AI12"/>
      <c r="AJ12"/>
    </row>
    <row r="13" spans="1:36" s="3" customFormat="1" ht="30" customHeight="1">
      <c r="A13" s="57"/>
      <c r="B13" s="76" t="s">
        <v>33</v>
      </c>
      <c r="C13" s="69" t="s">
        <v>34</v>
      </c>
      <c r="D13" s="21">
        <v>1</v>
      </c>
      <c r="E13" s="64">
        <f>Project_Start</f>
        <v>44648</v>
      </c>
      <c r="F13" s="64"/>
      <c r="G13" s="16"/>
      <c r="H13" s="16">
        <v>3</v>
      </c>
      <c r="I13" s="85"/>
      <c r="J13" s="85"/>
      <c r="K13" s="43"/>
      <c r="L13" s="85"/>
      <c r="M13" s="43"/>
      <c r="N13" s="43"/>
      <c r="O13" s="43"/>
      <c r="P13" s="43"/>
      <c r="Q13" s="43"/>
      <c r="R13" s="43"/>
      <c r="S13" s="84"/>
      <c r="T13" s="43"/>
      <c r="U13" s="43"/>
      <c r="V13" s="43"/>
      <c r="W13"/>
      <c r="X13"/>
      <c r="Y13"/>
      <c r="Z13"/>
      <c r="AA13"/>
      <c r="AB13"/>
      <c r="AC13"/>
      <c r="AD13"/>
      <c r="AE13"/>
      <c r="AF13"/>
      <c r="AG13"/>
      <c r="AH13"/>
      <c r="AI13"/>
      <c r="AJ13"/>
    </row>
    <row r="14" spans="1:36" s="3" customFormat="1" ht="30" customHeight="1">
      <c r="A14" s="57"/>
      <c r="B14" s="76" t="s">
        <v>35</v>
      </c>
      <c r="C14" s="69" t="s">
        <v>36</v>
      </c>
      <c r="D14" s="21">
        <v>0.6</v>
      </c>
      <c r="E14" s="64">
        <f>Project_Start</f>
        <v>44648</v>
      </c>
      <c r="F14" s="64"/>
      <c r="G14" s="16"/>
      <c r="H14" s="16"/>
      <c r="I14" s="85"/>
      <c r="J14" s="85"/>
      <c r="K14" s="43"/>
      <c r="L14" s="85"/>
      <c r="M14" s="85"/>
      <c r="N14" s="43"/>
      <c r="O14" s="43"/>
      <c r="P14" s="85"/>
      <c r="Q14" s="85"/>
      <c r="R14" s="43"/>
      <c r="S14" s="85"/>
      <c r="T14" s="85"/>
      <c r="U14" s="43"/>
      <c r="V14" s="43"/>
      <c r="W14"/>
      <c r="X14"/>
      <c r="Y14"/>
      <c r="Z14"/>
      <c r="AA14"/>
      <c r="AB14"/>
      <c r="AC14"/>
      <c r="AD14"/>
      <c r="AE14"/>
      <c r="AF14"/>
      <c r="AG14"/>
      <c r="AH14"/>
      <c r="AI14"/>
      <c r="AJ14"/>
    </row>
    <row r="15" spans="1:36" s="3" customFormat="1" ht="30" customHeight="1">
      <c r="A15" s="57"/>
      <c r="B15" s="76" t="s">
        <v>37</v>
      </c>
      <c r="C15" s="69" t="s">
        <v>38</v>
      </c>
      <c r="D15" s="21">
        <v>1</v>
      </c>
      <c r="E15" s="64">
        <f>Project_Start</f>
        <v>44648</v>
      </c>
      <c r="F15" s="64">
        <f>Project_Start+1</f>
        <v>44649</v>
      </c>
      <c r="G15" s="16"/>
      <c r="H15" s="16">
        <v>2</v>
      </c>
      <c r="I15" s="85"/>
      <c r="J15" s="85"/>
      <c r="K15" s="43"/>
      <c r="L15" s="43"/>
      <c r="M15" s="43"/>
      <c r="N15" s="43"/>
      <c r="O15" s="43"/>
      <c r="P15" s="43"/>
      <c r="Q15" s="43"/>
      <c r="R15" s="43"/>
      <c r="S15" s="84"/>
      <c r="T15" s="43"/>
      <c r="U15" s="43"/>
      <c r="V15" s="43"/>
      <c r="W15"/>
      <c r="X15"/>
      <c r="Y15"/>
      <c r="Z15"/>
      <c r="AA15"/>
      <c r="AB15"/>
      <c r="AC15"/>
      <c r="AD15"/>
      <c r="AE15"/>
      <c r="AF15"/>
      <c r="AG15"/>
      <c r="AH15"/>
      <c r="AI15"/>
      <c r="AJ15"/>
    </row>
    <row r="16" spans="1:36" s="3" customFormat="1" ht="30" customHeight="1">
      <c r="A16" s="57"/>
      <c r="B16" s="76" t="s">
        <v>39</v>
      </c>
      <c r="C16" s="69" t="s">
        <v>38</v>
      </c>
      <c r="D16" s="21">
        <v>1</v>
      </c>
      <c r="E16" s="64">
        <f>Project_Start</f>
        <v>44648</v>
      </c>
      <c r="F16" s="64">
        <f>Project_Start+1</f>
        <v>44649</v>
      </c>
      <c r="G16" s="16"/>
      <c r="H16" s="16">
        <v>2</v>
      </c>
      <c r="I16" s="85"/>
      <c r="J16" s="85"/>
      <c r="K16" s="43"/>
      <c r="L16" s="43"/>
      <c r="M16" s="43"/>
      <c r="N16" s="43"/>
      <c r="O16" s="43"/>
      <c r="P16" s="43"/>
      <c r="Q16" s="43"/>
      <c r="R16" s="43"/>
      <c r="S16" s="84"/>
      <c r="T16" s="43"/>
      <c r="U16" s="43"/>
      <c r="V16" s="43"/>
      <c r="W16"/>
      <c r="X16"/>
      <c r="Y16"/>
      <c r="Z16"/>
      <c r="AA16"/>
      <c r="AB16"/>
      <c r="AC16"/>
      <c r="AD16"/>
      <c r="AE16"/>
      <c r="AF16"/>
      <c r="AG16"/>
      <c r="AH16"/>
      <c r="AI16"/>
      <c r="AJ16"/>
    </row>
    <row r="17" spans="1:36" s="3" customFormat="1" ht="30" customHeight="1">
      <c r="A17" s="57"/>
      <c r="B17" s="76" t="s">
        <v>40</v>
      </c>
      <c r="C17" s="69" t="s">
        <v>41</v>
      </c>
      <c r="D17" s="21">
        <v>1</v>
      </c>
      <c r="E17" s="64">
        <f>E10+1</f>
        <v>44649</v>
      </c>
      <c r="F17" s="64">
        <f>Project_Start+1</f>
        <v>44649</v>
      </c>
      <c r="G17" s="16"/>
      <c r="H17" s="16">
        <v>2</v>
      </c>
      <c r="I17" s="85"/>
      <c r="J17" s="85"/>
      <c r="K17" s="43"/>
      <c r="L17" s="43"/>
      <c r="M17" s="43"/>
      <c r="N17" s="43"/>
      <c r="O17" s="43"/>
      <c r="P17" s="43"/>
      <c r="Q17" s="43"/>
      <c r="R17" s="43"/>
      <c r="S17" s="84"/>
      <c r="T17" s="43"/>
      <c r="U17" s="43"/>
      <c r="V17" s="43"/>
      <c r="W17"/>
      <c r="X17"/>
      <c r="Y17"/>
      <c r="Z17"/>
      <c r="AA17"/>
      <c r="AB17"/>
      <c r="AC17"/>
      <c r="AD17"/>
      <c r="AE17"/>
      <c r="AF17"/>
      <c r="AG17"/>
      <c r="AH17"/>
      <c r="AI17"/>
      <c r="AJ17"/>
    </row>
    <row r="18" spans="1:36" s="3" customFormat="1" ht="30" customHeight="1">
      <c r="A18" s="58" t="s">
        <v>42</v>
      </c>
      <c r="B18" s="22" t="s">
        <v>43</v>
      </c>
      <c r="C18" s="70"/>
      <c r="D18" s="23"/>
      <c r="E18" s="24"/>
      <c r="F18" s="25"/>
      <c r="G18" s="16"/>
      <c r="H18" s="16" t="str">
        <f t="shared" ca="1" si="1"/>
        <v/>
      </c>
      <c r="I18" s="43"/>
      <c r="J18" s="43"/>
      <c r="K18" s="43"/>
      <c r="L18" s="43"/>
      <c r="M18" s="43"/>
      <c r="N18" s="43"/>
      <c r="O18" s="43"/>
      <c r="P18" s="43"/>
      <c r="Q18" s="43"/>
      <c r="R18" s="43"/>
      <c r="S18" s="84"/>
      <c r="T18" s="43"/>
      <c r="U18" s="43"/>
      <c r="V18" s="43"/>
      <c r="W18"/>
      <c r="X18"/>
      <c r="Y18"/>
      <c r="Z18"/>
      <c r="AA18"/>
      <c r="AB18"/>
      <c r="AC18"/>
      <c r="AD18"/>
      <c r="AE18"/>
      <c r="AF18"/>
      <c r="AG18"/>
      <c r="AH18"/>
      <c r="AI18"/>
      <c r="AJ18"/>
    </row>
    <row r="19" spans="1:36" s="3" customFormat="1" ht="30" customHeight="1">
      <c r="A19" s="58"/>
      <c r="B19" s="77" t="s">
        <v>44</v>
      </c>
      <c r="C19" s="71" t="s">
        <v>45</v>
      </c>
      <c r="D19" s="26">
        <v>1</v>
      </c>
      <c r="E19" s="65">
        <f>Project_Start+1</f>
        <v>44649</v>
      </c>
      <c r="F19" s="65" t="s">
        <v>46</v>
      </c>
      <c r="G19" s="16"/>
      <c r="H19" s="16">
        <v>2</v>
      </c>
      <c r="I19" s="43"/>
      <c r="J19" s="86"/>
      <c r="K19" s="43"/>
      <c r="L19" s="86"/>
      <c r="M19" s="43"/>
      <c r="N19" s="43"/>
      <c r="O19" s="43"/>
      <c r="P19" s="43"/>
      <c r="Q19" s="43"/>
      <c r="R19" s="43"/>
      <c r="S19" s="84"/>
      <c r="T19" s="43"/>
      <c r="U19" s="43"/>
      <c r="V19" s="43"/>
      <c r="W19"/>
      <c r="X19"/>
      <c r="Y19"/>
      <c r="Z19"/>
      <c r="AA19"/>
      <c r="AB19"/>
      <c r="AC19"/>
      <c r="AD19"/>
      <c r="AE19"/>
      <c r="AF19"/>
      <c r="AG19"/>
      <c r="AH19"/>
      <c r="AI19"/>
      <c r="AJ19"/>
    </row>
    <row r="20" spans="1:36" s="3" customFormat="1" ht="30" customHeight="1">
      <c r="A20" s="57"/>
      <c r="B20" s="77" t="s">
        <v>47</v>
      </c>
      <c r="C20" s="71" t="s">
        <v>48</v>
      </c>
      <c r="D20" s="26">
        <v>1</v>
      </c>
      <c r="E20" s="65">
        <f>Project_Start+1</f>
        <v>44649</v>
      </c>
      <c r="F20" s="65">
        <v>44565</v>
      </c>
      <c r="G20" s="16"/>
      <c r="H20" s="16">
        <v>3</v>
      </c>
      <c r="I20" s="43"/>
      <c r="J20" s="86"/>
      <c r="K20" s="43"/>
      <c r="L20" s="86"/>
      <c r="M20" s="86"/>
      <c r="N20" s="43"/>
      <c r="O20" s="43"/>
      <c r="P20" s="43"/>
      <c r="Q20" s="43"/>
      <c r="R20" s="43"/>
      <c r="S20" s="84"/>
      <c r="T20" s="43"/>
      <c r="U20" s="44"/>
      <c r="V20" s="44"/>
      <c r="W20"/>
      <c r="X20"/>
      <c r="Y20"/>
      <c r="Z20"/>
      <c r="AA20"/>
      <c r="AB20"/>
      <c r="AC20"/>
      <c r="AD20"/>
      <c r="AE20"/>
      <c r="AF20"/>
      <c r="AG20"/>
      <c r="AH20"/>
      <c r="AI20"/>
      <c r="AJ20"/>
    </row>
    <row r="21" spans="1:36" s="3" customFormat="1" ht="30" customHeight="1">
      <c r="A21" s="57"/>
      <c r="B21" s="77" t="s">
        <v>49</v>
      </c>
      <c r="C21" s="71" t="s">
        <v>48</v>
      </c>
      <c r="D21" s="26">
        <v>1</v>
      </c>
      <c r="E21" s="65">
        <f>Project_Start+1</f>
        <v>44649</v>
      </c>
      <c r="F21" s="65">
        <v>44565</v>
      </c>
      <c r="G21" s="16"/>
      <c r="H21" s="16">
        <v>3</v>
      </c>
      <c r="I21" s="43"/>
      <c r="J21" s="86"/>
      <c r="K21" s="43"/>
      <c r="L21" s="86"/>
      <c r="M21" s="86"/>
      <c r="N21" s="43"/>
      <c r="O21" s="43"/>
      <c r="P21" s="43"/>
      <c r="Q21" s="43"/>
      <c r="R21" s="43"/>
      <c r="S21" s="84"/>
      <c r="T21" s="43"/>
      <c r="U21" s="43"/>
      <c r="V21" s="43"/>
      <c r="W21"/>
      <c r="X21"/>
      <c r="Y21"/>
      <c r="Z21"/>
      <c r="AA21"/>
      <c r="AB21"/>
      <c r="AC21"/>
      <c r="AD21"/>
      <c r="AE21"/>
      <c r="AF21"/>
      <c r="AG21"/>
      <c r="AH21"/>
      <c r="AI21"/>
      <c r="AJ21"/>
    </row>
    <row r="22" spans="1:36" s="3" customFormat="1" ht="30" customHeight="1">
      <c r="A22" s="57"/>
      <c r="B22" s="77" t="s">
        <v>50</v>
      </c>
      <c r="C22" s="71" t="s">
        <v>51</v>
      </c>
      <c r="D22" s="26">
        <v>0.75</v>
      </c>
      <c r="E22" s="65">
        <f>Project_Start+1</f>
        <v>44649</v>
      </c>
      <c r="F22" s="65"/>
      <c r="G22" s="16"/>
      <c r="H22" s="16" t="str">
        <f t="shared" ca="1" si="1"/>
        <v/>
      </c>
      <c r="I22" s="43"/>
      <c r="J22" s="86"/>
      <c r="K22" s="43"/>
      <c r="L22" s="86"/>
      <c r="M22" s="86"/>
      <c r="N22" s="43"/>
      <c r="O22" s="43"/>
      <c r="P22" s="86"/>
      <c r="Q22" s="86"/>
      <c r="R22" s="43"/>
      <c r="S22" s="86"/>
      <c r="T22" s="86"/>
      <c r="U22" s="43"/>
      <c r="V22" s="43"/>
      <c r="W22"/>
      <c r="X22"/>
      <c r="Y22"/>
      <c r="Z22"/>
      <c r="AA22"/>
      <c r="AB22"/>
      <c r="AC22"/>
      <c r="AD22"/>
      <c r="AE22"/>
      <c r="AF22"/>
      <c r="AG22"/>
      <c r="AH22"/>
      <c r="AI22"/>
      <c r="AJ22"/>
    </row>
    <row r="23" spans="1:36" s="3" customFormat="1" ht="30" customHeight="1">
      <c r="A23" s="57"/>
      <c r="B23" s="77" t="s">
        <v>52</v>
      </c>
      <c r="C23" s="71" t="s">
        <v>53</v>
      </c>
      <c r="D23" s="26">
        <v>0.8</v>
      </c>
      <c r="E23" s="65">
        <f>Project_Start+1</f>
        <v>44649</v>
      </c>
      <c r="F23" s="65"/>
      <c r="G23" s="16"/>
      <c r="H23" s="16"/>
      <c r="I23" s="43"/>
      <c r="J23" s="86"/>
      <c r="K23" s="43"/>
      <c r="L23" s="86"/>
      <c r="M23" s="86"/>
      <c r="N23" s="43"/>
      <c r="O23" s="43"/>
      <c r="P23" s="86"/>
      <c r="Q23" s="86"/>
      <c r="R23" s="43"/>
      <c r="S23" s="86"/>
      <c r="T23" s="86"/>
      <c r="U23" s="43"/>
      <c r="V23" s="43"/>
      <c r="W23"/>
      <c r="X23"/>
      <c r="Y23"/>
      <c r="Z23"/>
      <c r="AA23"/>
      <c r="AB23"/>
      <c r="AC23"/>
      <c r="AD23"/>
      <c r="AE23"/>
      <c r="AF23"/>
      <c r="AG23"/>
      <c r="AH23"/>
      <c r="AI23"/>
      <c r="AJ23"/>
    </row>
    <row r="24" spans="1:36" s="3" customFormat="1" ht="30" customHeight="1">
      <c r="A24" s="57"/>
      <c r="B24" s="77" t="s">
        <v>54</v>
      </c>
      <c r="C24" s="71" t="s">
        <v>55</v>
      </c>
      <c r="D24" s="26">
        <v>1</v>
      </c>
      <c r="E24" s="65">
        <f>Project_Start+1</f>
        <v>44649</v>
      </c>
      <c r="F24" s="65">
        <v>44565</v>
      </c>
      <c r="G24" s="16"/>
      <c r="H24" s="16">
        <v>3</v>
      </c>
      <c r="I24" s="43"/>
      <c r="J24" s="86"/>
      <c r="K24" s="43"/>
      <c r="L24" s="86"/>
      <c r="M24" s="86"/>
      <c r="N24" s="43"/>
      <c r="O24" s="43"/>
      <c r="P24" s="43"/>
      <c r="Q24" s="43"/>
      <c r="R24" s="43"/>
      <c r="S24" s="84"/>
      <c r="T24" s="43"/>
      <c r="U24" s="43"/>
      <c r="V24" s="43"/>
      <c r="W24"/>
      <c r="X24"/>
      <c r="Y24"/>
      <c r="Z24"/>
      <c r="AA24"/>
      <c r="AB24"/>
      <c r="AC24"/>
      <c r="AD24"/>
      <c r="AE24"/>
      <c r="AF24"/>
      <c r="AG24"/>
      <c r="AH24"/>
      <c r="AI24"/>
      <c r="AJ24"/>
    </row>
    <row r="25" spans="1:36" s="3" customFormat="1" ht="30" customHeight="1">
      <c r="A25" s="57"/>
      <c r="B25" s="77" t="s">
        <v>56</v>
      </c>
      <c r="C25" s="71" t="s">
        <v>57</v>
      </c>
      <c r="D25" s="26">
        <v>1</v>
      </c>
      <c r="E25" s="65">
        <f>Project_Start+1</f>
        <v>44649</v>
      </c>
      <c r="F25" s="65">
        <f>Project_Start+1</f>
        <v>44649</v>
      </c>
      <c r="G25" s="16"/>
      <c r="H25" s="16">
        <v>1</v>
      </c>
      <c r="I25" s="43"/>
      <c r="J25" s="86"/>
      <c r="K25" s="43"/>
      <c r="L25" s="43"/>
      <c r="M25" s="43"/>
      <c r="N25" s="43"/>
      <c r="O25" s="43"/>
      <c r="P25" s="43"/>
      <c r="Q25" s="43"/>
      <c r="R25" s="43"/>
      <c r="S25" s="84"/>
      <c r="T25" s="43"/>
      <c r="U25" s="43"/>
      <c r="V25" s="43"/>
      <c r="W25"/>
      <c r="X25"/>
      <c r="Y25"/>
      <c r="Z25"/>
      <c r="AA25"/>
      <c r="AB25"/>
      <c r="AC25"/>
      <c r="AD25"/>
      <c r="AE25"/>
      <c r="AF25"/>
      <c r="AG25"/>
      <c r="AH25"/>
      <c r="AI25"/>
      <c r="AJ25"/>
    </row>
    <row r="26" spans="1:36" s="3" customFormat="1" ht="30" customHeight="1">
      <c r="A26" s="57"/>
      <c r="B26" s="77" t="s">
        <v>58</v>
      </c>
      <c r="C26" s="71" t="s">
        <v>59</v>
      </c>
      <c r="D26" s="26">
        <v>1</v>
      </c>
      <c r="E26" s="65">
        <f>Project_Start+1</f>
        <v>44649</v>
      </c>
      <c r="F26" s="65" t="s">
        <v>60</v>
      </c>
      <c r="G26" s="16"/>
      <c r="H26" s="16">
        <v>2</v>
      </c>
      <c r="I26" s="43"/>
      <c r="J26" s="86"/>
      <c r="K26" s="43"/>
      <c r="L26" s="86"/>
      <c r="M26" s="43"/>
      <c r="N26" s="43"/>
      <c r="O26" s="43"/>
      <c r="P26" s="43"/>
      <c r="Q26" s="43"/>
      <c r="R26" s="43"/>
      <c r="S26" s="84"/>
      <c r="T26" s="43"/>
      <c r="U26" s="43"/>
      <c r="V26" s="43"/>
      <c r="W26"/>
      <c r="X26"/>
      <c r="Y26"/>
      <c r="Z26"/>
      <c r="AA26"/>
      <c r="AB26"/>
      <c r="AC26"/>
      <c r="AD26"/>
      <c r="AE26"/>
      <c r="AF26"/>
      <c r="AG26"/>
      <c r="AH26"/>
      <c r="AI26"/>
      <c r="AJ26"/>
    </row>
    <row r="27" spans="1:36" s="3" customFormat="1" ht="30" customHeight="1">
      <c r="A27" s="57"/>
      <c r="B27" s="77" t="s">
        <v>61</v>
      </c>
      <c r="C27" s="71" t="s">
        <v>62</v>
      </c>
      <c r="D27" s="26">
        <v>0.8</v>
      </c>
      <c r="E27" s="65">
        <f>Project_Start+3</f>
        <v>44651</v>
      </c>
      <c r="F27" s="65"/>
      <c r="G27" s="16"/>
      <c r="H27" s="16"/>
      <c r="I27" s="43"/>
      <c r="J27" s="86"/>
      <c r="K27" s="43"/>
      <c r="L27" s="86"/>
      <c r="M27" s="86"/>
      <c r="N27" s="43"/>
      <c r="O27" s="43"/>
      <c r="P27" s="86"/>
      <c r="Q27" s="86"/>
      <c r="R27" s="84"/>
      <c r="S27" s="86"/>
      <c r="T27" s="86"/>
      <c r="U27" s="43"/>
      <c r="V27" s="43"/>
      <c r="W27"/>
      <c r="X27"/>
      <c r="Y27"/>
      <c r="Z27"/>
      <c r="AA27"/>
      <c r="AB27"/>
      <c r="AC27"/>
      <c r="AD27"/>
      <c r="AE27"/>
      <c r="AF27"/>
      <c r="AG27"/>
      <c r="AH27"/>
      <c r="AI27"/>
      <c r="AJ27"/>
    </row>
    <row r="28" spans="1:36" s="3" customFormat="1" ht="30" customHeight="1">
      <c r="A28" s="57"/>
      <c r="B28" s="77" t="s">
        <v>63</v>
      </c>
      <c r="C28" s="71" t="s">
        <v>64</v>
      </c>
      <c r="D28" s="26">
        <v>1</v>
      </c>
      <c r="E28" s="65" t="s">
        <v>65</v>
      </c>
      <c r="F28" s="65">
        <v>44655</v>
      </c>
      <c r="G28" s="16"/>
      <c r="H28" s="16">
        <v>3</v>
      </c>
      <c r="I28" s="43"/>
      <c r="J28" s="86"/>
      <c r="K28" s="43"/>
      <c r="L28" s="86"/>
      <c r="M28" s="86"/>
      <c r="N28" s="43"/>
      <c r="O28" s="43"/>
      <c r="P28" s="43"/>
      <c r="Q28" s="43"/>
      <c r="R28" s="43"/>
      <c r="S28" s="84"/>
      <c r="T28" s="43"/>
      <c r="U28" s="43"/>
      <c r="V28" s="43"/>
      <c r="W28"/>
      <c r="X28"/>
      <c r="Y28"/>
      <c r="Z28"/>
      <c r="AA28"/>
      <c r="AB28"/>
      <c r="AC28"/>
      <c r="AD28"/>
      <c r="AE28"/>
      <c r="AF28"/>
      <c r="AG28"/>
      <c r="AH28"/>
      <c r="AI28"/>
      <c r="AJ28"/>
    </row>
    <row r="29" spans="1:36" s="3" customFormat="1" ht="30" customHeight="1">
      <c r="A29" s="57"/>
      <c r="B29" s="77" t="s">
        <v>66</v>
      </c>
      <c r="C29" s="71" t="s">
        <v>67</v>
      </c>
      <c r="D29" s="26">
        <v>0.5</v>
      </c>
      <c r="E29" s="65">
        <v>44658</v>
      </c>
      <c r="F29" s="65"/>
      <c r="G29" s="16"/>
      <c r="H29" s="16"/>
      <c r="I29" s="43"/>
      <c r="J29" s="84"/>
      <c r="K29" s="43"/>
      <c r="L29" s="84"/>
      <c r="M29" s="84"/>
      <c r="N29" s="43"/>
      <c r="O29" s="43"/>
      <c r="P29" s="43"/>
      <c r="Q29" s="43"/>
      <c r="R29" s="43"/>
      <c r="S29" s="96"/>
      <c r="T29" s="86"/>
      <c r="U29" s="43"/>
      <c r="V29" s="43"/>
      <c r="W29"/>
      <c r="X29"/>
      <c r="Y29"/>
      <c r="Z29"/>
      <c r="AA29"/>
      <c r="AB29"/>
      <c r="AC29"/>
      <c r="AD29"/>
      <c r="AE29"/>
      <c r="AF29"/>
      <c r="AG29"/>
      <c r="AH29"/>
      <c r="AI29"/>
      <c r="AJ29"/>
    </row>
    <row r="30" spans="1:36" s="3" customFormat="1" ht="30" customHeight="1">
      <c r="A30" s="57"/>
      <c r="B30" s="77" t="s">
        <v>68</v>
      </c>
      <c r="C30" s="87" t="s">
        <v>69</v>
      </c>
      <c r="D30" s="26">
        <v>1</v>
      </c>
      <c r="E30" s="65">
        <v>44655</v>
      </c>
      <c r="F30" s="65">
        <v>44655</v>
      </c>
      <c r="G30" s="16"/>
      <c r="H30" s="16">
        <v>3</v>
      </c>
      <c r="I30" s="43"/>
      <c r="J30" s="84"/>
      <c r="K30" s="43"/>
      <c r="L30" s="86"/>
      <c r="M30" s="86"/>
      <c r="N30" s="43"/>
      <c r="O30" s="43"/>
      <c r="P30" s="86"/>
      <c r="Q30" s="43"/>
      <c r="R30" s="43"/>
      <c r="S30" s="84"/>
      <c r="T30" s="43"/>
      <c r="U30" s="43"/>
      <c r="V30" s="43"/>
      <c r="W30"/>
      <c r="X30"/>
      <c r="Y30"/>
      <c r="Z30"/>
      <c r="AA30"/>
      <c r="AB30"/>
      <c r="AC30"/>
      <c r="AD30"/>
      <c r="AE30"/>
      <c r="AF30"/>
      <c r="AG30"/>
      <c r="AH30"/>
      <c r="AI30"/>
      <c r="AJ30"/>
    </row>
    <row r="31" spans="1:36" s="3" customFormat="1" ht="30" customHeight="1">
      <c r="A31" s="57" t="s">
        <v>70</v>
      </c>
      <c r="B31" s="27" t="s">
        <v>71</v>
      </c>
      <c r="C31" s="72"/>
      <c r="D31" s="28"/>
      <c r="E31" s="29"/>
      <c r="F31" s="30"/>
      <c r="G31" s="16"/>
      <c r="H31" s="16" t="str">
        <f t="shared" ca="1" si="1"/>
        <v/>
      </c>
      <c r="I31" s="43"/>
      <c r="J31" s="43"/>
      <c r="K31" s="43"/>
      <c r="L31" s="43"/>
      <c r="M31" s="43"/>
      <c r="N31" s="43"/>
      <c r="O31" s="43"/>
      <c r="P31" s="43"/>
      <c r="Q31" s="43"/>
      <c r="R31" s="43"/>
      <c r="S31" s="84"/>
      <c r="T31" s="43"/>
      <c r="U31" s="43"/>
      <c r="V31" s="43"/>
      <c r="W31"/>
      <c r="X31"/>
      <c r="Y31"/>
      <c r="Z31"/>
      <c r="AA31"/>
      <c r="AB31"/>
      <c r="AC31"/>
      <c r="AD31"/>
      <c r="AE31"/>
      <c r="AF31"/>
      <c r="AG31"/>
      <c r="AH31"/>
      <c r="AI31"/>
      <c r="AJ31"/>
    </row>
    <row r="32" spans="1:36" s="3" customFormat="1" ht="30" customHeight="1">
      <c r="A32" s="57"/>
      <c r="B32" s="78" t="s">
        <v>72</v>
      </c>
      <c r="C32" s="73" t="s">
        <v>48</v>
      </c>
      <c r="D32" s="31">
        <v>1</v>
      </c>
      <c r="E32" s="66">
        <f>Project_Start+3</f>
        <v>44651</v>
      </c>
      <c r="F32" s="66">
        <v>44565</v>
      </c>
      <c r="G32" s="16"/>
      <c r="H32" s="16">
        <v>2</v>
      </c>
      <c r="I32" s="43"/>
      <c r="J32" s="43"/>
      <c r="K32" s="84"/>
      <c r="L32" s="94"/>
      <c r="M32" s="94"/>
      <c r="N32" s="43"/>
      <c r="O32" s="43"/>
      <c r="P32" s="43"/>
      <c r="Q32" s="43"/>
      <c r="R32" s="43"/>
      <c r="S32" s="43"/>
      <c r="T32" s="43"/>
      <c r="U32" s="43"/>
      <c r="V32" s="43"/>
      <c r="W32"/>
      <c r="X32"/>
      <c r="Y32"/>
      <c r="Z32"/>
      <c r="AA32"/>
      <c r="AB32"/>
      <c r="AC32"/>
      <c r="AD32"/>
      <c r="AE32"/>
      <c r="AF32"/>
      <c r="AG32"/>
      <c r="AH32"/>
      <c r="AI32"/>
      <c r="AJ32"/>
    </row>
    <row r="33" spans="1:36" s="3" customFormat="1" ht="30" customHeight="1">
      <c r="A33" s="57"/>
      <c r="B33" s="78" t="s">
        <v>73</v>
      </c>
      <c r="C33" s="73" t="s">
        <v>74</v>
      </c>
      <c r="D33" s="31">
        <v>1</v>
      </c>
      <c r="E33" s="66">
        <v>44565</v>
      </c>
      <c r="F33" s="66">
        <v>44685</v>
      </c>
      <c r="G33" s="16"/>
      <c r="H33" s="16">
        <v>3</v>
      </c>
      <c r="I33" s="43"/>
      <c r="J33" s="43"/>
      <c r="K33" s="43"/>
      <c r="L33" s="43"/>
      <c r="M33" s="95"/>
      <c r="N33" s="43"/>
      <c r="O33" s="43"/>
      <c r="P33" s="94"/>
      <c r="Q33" s="94"/>
      <c r="R33" s="43"/>
      <c r="S33" s="43"/>
      <c r="T33" s="43"/>
      <c r="U33" s="43"/>
      <c r="V33" s="43"/>
      <c r="W33"/>
      <c r="X33"/>
      <c r="Y33"/>
      <c r="Z33"/>
      <c r="AA33"/>
      <c r="AB33"/>
      <c r="AC33"/>
      <c r="AD33"/>
      <c r="AE33"/>
      <c r="AF33"/>
      <c r="AG33"/>
      <c r="AH33"/>
      <c r="AI33"/>
      <c r="AJ33"/>
    </row>
    <row r="34" spans="1:36" s="3" customFormat="1" ht="30" customHeight="1">
      <c r="A34" s="57"/>
      <c r="B34" s="78" t="s">
        <v>75</v>
      </c>
      <c r="C34" s="73" t="s">
        <v>76</v>
      </c>
      <c r="D34" s="31">
        <v>1</v>
      </c>
      <c r="E34" s="66">
        <v>44656</v>
      </c>
      <c r="F34" s="66">
        <v>44658</v>
      </c>
      <c r="G34" s="16"/>
      <c r="H34" s="16">
        <v>2</v>
      </c>
      <c r="I34" s="43"/>
      <c r="J34" s="43"/>
      <c r="K34" s="43"/>
      <c r="L34" s="43"/>
      <c r="M34" s="43"/>
      <c r="N34" s="43"/>
      <c r="O34" s="43"/>
      <c r="P34" s="43"/>
      <c r="Q34" s="94"/>
      <c r="R34" s="43"/>
      <c r="S34" s="94"/>
      <c r="T34" s="43"/>
      <c r="U34" s="43"/>
      <c r="V34" s="43"/>
      <c r="W34"/>
      <c r="X34"/>
      <c r="Y34"/>
      <c r="Z34"/>
      <c r="AA34"/>
      <c r="AB34"/>
      <c r="AC34"/>
      <c r="AD34"/>
      <c r="AE34"/>
      <c r="AF34"/>
      <c r="AG34"/>
      <c r="AH34"/>
      <c r="AI34"/>
      <c r="AJ34"/>
    </row>
    <row r="35" spans="1:36" s="3" customFormat="1" ht="30" customHeight="1">
      <c r="A35" s="57"/>
      <c r="B35" s="78" t="s">
        <v>77</v>
      </c>
      <c r="C35" s="73" t="s">
        <v>48</v>
      </c>
      <c r="D35" s="31">
        <v>0.2</v>
      </c>
      <c r="E35" s="66">
        <v>44658</v>
      </c>
      <c r="F35" s="66"/>
      <c r="G35" s="16"/>
      <c r="H35" s="16"/>
      <c r="I35" s="43"/>
      <c r="J35" s="43"/>
      <c r="K35" s="43"/>
      <c r="L35" s="43"/>
      <c r="M35" s="43"/>
      <c r="N35" s="43"/>
      <c r="O35" s="43"/>
      <c r="P35" s="43"/>
      <c r="Q35" s="43"/>
      <c r="R35" s="43"/>
      <c r="S35" s="95"/>
      <c r="T35" s="94"/>
      <c r="U35" s="43"/>
      <c r="V35" s="43"/>
      <c r="W35"/>
      <c r="X35"/>
      <c r="Y35"/>
      <c r="Z35"/>
      <c r="AA35"/>
      <c r="AB35"/>
      <c r="AC35"/>
      <c r="AD35"/>
      <c r="AE35"/>
      <c r="AF35"/>
      <c r="AG35"/>
      <c r="AH35"/>
      <c r="AI35"/>
      <c r="AJ35"/>
    </row>
    <row r="36" spans="1:36" s="3" customFormat="1" ht="30" customHeight="1">
      <c r="A36" s="57"/>
      <c r="B36" s="78" t="s">
        <v>78</v>
      </c>
      <c r="C36" s="73" t="s">
        <v>79</v>
      </c>
      <c r="D36" s="31">
        <v>0.2</v>
      </c>
      <c r="E36" s="66">
        <v>44652</v>
      </c>
      <c r="F36" s="66"/>
      <c r="G36" s="16"/>
      <c r="H36" s="16"/>
      <c r="I36" s="43"/>
      <c r="J36" s="43"/>
      <c r="K36" s="43"/>
      <c r="L36" s="43"/>
      <c r="M36" s="94"/>
      <c r="N36" s="43"/>
      <c r="O36" s="43"/>
      <c r="P36" s="94"/>
      <c r="Q36" s="94"/>
      <c r="R36" s="43"/>
      <c r="S36" s="94"/>
      <c r="T36" s="43"/>
      <c r="U36" s="43"/>
      <c r="V36" s="43"/>
      <c r="W36"/>
      <c r="X36"/>
      <c r="Y36"/>
      <c r="Z36"/>
      <c r="AA36"/>
      <c r="AB36"/>
      <c r="AC36"/>
      <c r="AD36"/>
      <c r="AE36"/>
      <c r="AF36"/>
      <c r="AG36"/>
      <c r="AH36"/>
      <c r="AI36"/>
      <c r="AJ36"/>
    </row>
    <row r="37" spans="1:36" s="3" customFormat="1" ht="30" customHeight="1">
      <c r="A37" s="57"/>
      <c r="B37" s="78" t="s">
        <v>80</v>
      </c>
      <c r="C37" s="73" t="s">
        <v>81</v>
      </c>
      <c r="D37" s="31">
        <v>1</v>
      </c>
      <c r="E37" s="66">
        <v>44656</v>
      </c>
      <c r="F37" s="66">
        <v>44659</v>
      </c>
      <c r="G37" s="16"/>
      <c r="H37" s="16">
        <v>3</v>
      </c>
      <c r="I37" s="43"/>
      <c r="J37" s="43"/>
      <c r="K37" s="43"/>
      <c r="L37" s="43"/>
      <c r="M37" s="84"/>
      <c r="N37" s="43"/>
      <c r="O37" s="43"/>
      <c r="P37" s="43"/>
      <c r="Q37" s="94"/>
      <c r="R37" s="43"/>
      <c r="S37" s="94"/>
      <c r="T37" s="94"/>
      <c r="U37" s="43"/>
      <c r="V37" s="43"/>
      <c r="W37"/>
      <c r="X37"/>
      <c r="Y37"/>
      <c r="Z37"/>
      <c r="AA37"/>
      <c r="AB37"/>
      <c r="AC37"/>
      <c r="AD37"/>
      <c r="AE37"/>
      <c r="AF37"/>
      <c r="AG37"/>
      <c r="AH37"/>
      <c r="AI37"/>
      <c r="AJ37"/>
    </row>
    <row r="38" spans="1:36" s="3" customFormat="1" ht="30" customHeight="1">
      <c r="A38" s="57"/>
      <c r="B38" s="78" t="s">
        <v>82</v>
      </c>
      <c r="C38" s="73"/>
      <c r="D38" s="31"/>
      <c r="E38" s="66"/>
      <c r="F38" s="66"/>
      <c r="G38" s="16"/>
      <c r="H38" s="16"/>
      <c r="I38" s="43"/>
      <c r="J38" s="43"/>
      <c r="K38" s="43"/>
      <c r="L38" s="43"/>
      <c r="M38" s="43"/>
      <c r="N38" s="43"/>
      <c r="O38" s="43"/>
      <c r="P38" s="43"/>
      <c r="Q38" s="43"/>
      <c r="R38" s="43"/>
      <c r="S38" s="43"/>
      <c r="T38" s="43"/>
      <c r="U38" s="43"/>
      <c r="V38" s="43"/>
      <c r="W38"/>
      <c r="X38"/>
      <c r="Y38"/>
      <c r="Z38"/>
      <c r="AA38"/>
      <c r="AB38"/>
      <c r="AC38"/>
      <c r="AD38"/>
      <c r="AE38"/>
      <c r="AF38"/>
      <c r="AG38"/>
      <c r="AH38"/>
      <c r="AI38"/>
      <c r="AJ38"/>
    </row>
    <row r="39" spans="1:36" s="3" customFormat="1" ht="30" customHeight="1">
      <c r="A39" s="57" t="s">
        <v>70</v>
      </c>
      <c r="B39" s="32" t="s">
        <v>83</v>
      </c>
      <c r="C39" s="74"/>
      <c r="D39" s="33"/>
      <c r="E39" s="34"/>
      <c r="F39" s="35"/>
      <c r="G39" s="16"/>
      <c r="H39" s="16" t="str">
        <f t="shared" ca="1" si="1"/>
        <v/>
      </c>
      <c r="I39" s="43"/>
      <c r="J39" s="43"/>
      <c r="K39" s="43"/>
      <c r="L39" s="43"/>
      <c r="M39" s="43"/>
      <c r="N39" s="43"/>
      <c r="O39" s="43"/>
      <c r="P39" s="43"/>
      <c r="Q39" s="43"/>
      <c r="R39" s="43"/>
      <c r="S39" s="43"/>
      <c r="T39" s="43"/>
      <c r="U39" s="43"/>
      <c r="V39" s="43"/>
      <c r="W39"/>
      <c r="X39"/>
      <c r="Y39"/>
      <c r="Z39"/>
      <c r="AA39"/>
      <c r="AB39"/>
      <c r="AC39"/>
      <c r="AD39"/>
      <c r="AE39"/>
      <c r="AF39"/>
      <c r="AG39"/>
      <c r="AH39"/>
      <c r="AI39"/>
      <c r="AJ39"/>
    </row>
    <row r="40" spans="1:36" s="3" customFormat="1" ht="30" customHeight="1">
      <c r="A40" s="57"/>
      <c r="B40" s="79" t="s">
        <v>84</v>
      </c>
      <c r="C40" s="75"/>
      <c r="D40" s="36"/>
      <c r="E40" s="67">
        <v>44659</v>
      </c>
      <c r="F40" s="67">
        <v>44659</v>
      </c>
      <c r="G40" s="16"/>
      <c r="H40" s="16"/>
      <c r="I40" s="43"/>
      <c r="J40" s="43"/>
      <c r="K40" s="43"/>
      <c r="L40" s="43"/>
      <c r="M40" s="43"/>
      <c r="N40" s="43"/>
      <c r="O40" s="43"/>
      <c r="P40" s="43"/>
      <c r="Q40" s="43"/>
      <c r="R40" s="43"/>
      <c r="S40" s="43"/>
      <c r="T40" s="97"/>
      <c r="U40" s="43"/>
      <c r="V40" s="43"/>
      <c r="W40"/>
      <c r="X40"/>
      <c r="Y40"/>
      <c r="Z40"/>
      <c r="AA40"/>
      <c r="AB40"/>
      <c r="AC40"/>
      <c r="AD40"/>
      <c r="AE40"/>
      <c r="AF40"/>
      <c r="AG40"/>
      <c r="AH40"/>
      <c r="AI40"/>
      <c r="AJ40"/>
    </row>
    <row r="41" spans="1:36" s="3" customFormat="1" ht="30" customHeight="1">
      <c r="A41" s="57"/>
      <c r="B41" s="88" t="s">
        <v>85</v>
      </c>
      <c r="C41" s="89"/>
      <c r="D41" s="89"/>
      <c r="E41" s="89"/>
      <c r="F41" s="89"/>
      <c r="G41" s="16"/>
      <c r="H41" s="16"/>
      <c r="I41" s="43"/>
      <c r="J41" s="43"/>
      <c r="K41" s="43"/>
      <c r="L41" s="43"/>
      <c r="M41" s="43"/>
      <c r="N41" s="43"/>
      <c r="O41" s="43"/>
      <c r="P41" s="43"/>
      <c r="Q41" s="43"/>
      <c r="R41" s="43"/>
      <c r="S41" s="43"/>
      <c r="T41" s="43"/>
      <c r="U41" s="43"/>
      <c r="V41" s="43"/>
      <c r="W41"/>
      <c r="X41"/>
      <c r="Y41"/>
      <c r="Z41"/>
      <c r="AA41"/>
      <c r="AB41"/>
      <c r="AC41"/>
      <c r="AD41"/>
      <c r="AE41"/>
      <c r="AF41"/>
      <c r="AG41"/>
      <c r="AH41"/>
      <c r="AI41"/>
      <c r="AJ41"/>
    </row>
    <row r="42" spans="1:36" s="3" customFormat="1" ht="30" customHeight="1">
      <c r="A42" s="57"/>
      <c r="B42" s="90" t="s">
        <v>86</v>
      </c>
      <c r="C42" s="91"/>
      <c r="D42" s="92"/>
      <c r="E42" s="93">
        <v>44659</v>
      </c>
      <c r="F42" s="101">
        <v>44659</v>
      </c>
      <c r="G42" s="16"/>
      <c r="H42" s="16"/>
      <c r="I42" s="43"/>
      <c r="J42" s="43"/>
      <c r="K42" s="43"/>
      <c r="L42" s="43"/>
      <c r="M42" s="43"/>
      <c r="N42" s="43"/>
      <c r="O42" s="43"/>
      <c r="P42" s="43"/>
      <c r="Q42" s="43"/>
      <c r="R42" s="43"/>
      <c r="S42" s="43"/>
      <c r="T42" s="86"/>
      <c r="U42" s="43"/>
      <c r="V42" s="43"/>
      <c r="W42"/>
      <c r="X42"/>
      <c r="Y42"/>
      <c r="Z42"/>
      <c r="AA42"/>
      <c r="AB42"/>
      <c r="AC42"/>
      <c r="AD42"/>
      <c r="AE42"/>
      <c r="AF42"/>
      <c r="AG42"/>
      <c r="AH42"/>
      <c r="AI42"/>
      <c r="AJ42"/>
    </row>
    <row r="43" spans="1:36" s="3" customFormat="1" ht="30" customHeight="1">
      <c r="A43" s="57"/>
      <c r="B43" s="90" t="s">
        <v>87</v>
      </c>
      <c r="C43" s="91"/>
      <c r="D43" s="92"/>
      <c r="E43" s="93">
        <v>44659</v>
      </c>
      <c r="F43" s="93">
        <v>44659</v>
      </c>
      <c r="G43" s="16"/>
      <c r="H43" s="16"/>
      <c r="I43" s="43"/>
      <c r="J43" s="43"/>
      <c r="K43" s="43"/>
      <c r="L43" s="43"/>
      <c r="M43" s="43"/>
      <c r="N43" s="43"/>
      <c r="O43" s="43"/>
      <c r="P43" s="43"/>
      <c r="Q43" s="43"/>
      <c r="R43" s="43"/>
      <c r="S43" s="43"/>
      <c r="T43" s="86"/>
      <c r="U43" s="43"/>
      <c r="V43" s="43"/>
      <c r="W43"/>
      <c r="X43"/>
      <c r="Y43"/>
      <c r="Z43"/>
      <c r="AA43"/>
      <c r="AB43"/>
      <c r="AC43"/>
      <c r="AD43"/>
      <c r="AE43"/>
      <c r="AF43"/>
      <c r="AG43"/>
      <c r="AH43"/>
      <c r="AI43"/>
      <c r="AJ43"/>
    </row>
    <row r="44" spans="1:36" s="3" customFormat="1" ht="30" customHeight="1">
      <c r="A44" s="58" t="s">
        <v>88</v>
      </c>
      <c r="B44" s="37" t="s">
        <v>89</v>
      </c>
      <c r="C44" s="38"/>
      <c r="D44" s="39"/>
      <c r="E44" s="40"/>
      <c r="F44" s="41"/>
      <c r="G44" s="42"/>
      <c r="H44" s="42" t="str">
        <f t="shared" ca="1" si="1"/>
        <v/>
      </c>
      <c r="I44" s="45"/>
      <c r="J44" s="45"/>
      <c r="K44" s="45"/>
      <c r="L44" s="45"/>
      <c r="M44" s="45"/>
      <c r="N44" s="45"/>
      <c r="O44" s="45"/>
      <c r="P44" s="45"/>
      <c r="Q44" s="45"/>
      <c r="R44" s="45"/>
      <c r="S44" s="45"/>
      <c r="T44" s="45"/>
      <c r="U44" s="45"/>
      <c r="V44" s="45"/>
      <c r="W44"/>
      <c r="X44"/>
      <c r="Y44"/>
      <c r="Z44"/>
      <c r="AA44"/>
      <c r="AB44"/>
      <c r="AC44"/>
      <c r="AD44"/>
      <c r="AE44"/>
      <c r="AF44"/>
      <c r="AG44"/>
      <c r="AH44"/>
      <c r="AI44"/>
      <c r="AJ44"/>
    </row>
    <row r="45" spans="1:36" ht="30" customHeight="1">
      <c r="G45" s="6"/>
    </row>
    <row r="46" spans="1:36" ht="30" customHeight="1">
      <c r="C46" s="14"/>
      <c r="F46" s="59"/>
    </row>
    <row r="47" spans="1:36" ht="30" customHeight="1">
      <c r="C47" s="15"/>
    </row>
  </sheetData>
  <mergeCells count="5">
    <mergeCell ref="C4:D4"/>
    <mergeCell ref="C3:D3"/>
    <mergeCell ref="E3:F3"/>
    <mergeCell ref="I4:O4"/>
    <mergeCell ref="P4:V4"/>
  </mergeCells>
  <conditionalFormatting sqref="D42:D44 D7:D40">
    <cfRule type="dataBar" priority="16">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U5 I6:O6 I7:U44">
    <cfRule type="expression" dxfId="7" priority="35">
      <formula>AND(TODAY()&gt;=I$5,TODAY()&lt;J$5)</formula>
    </cfRule>
  </conditionalFormatting>
  <conditionalFormatting sqref="I7:U44">
    <cfRule type="expression" dxfId="6" priority="29">
      <formula>AND(task_start&lt;=I$5,ROUNDDOWN((task_end-task_start+1)*task_progress,0)+task_start-1&gt;=I$5)</formula>
    </cfRule>
    <cfRule type="expression" dxfId="5" priority="30" stopIfTrue="1">
      <formula>AND(task_end&gt;=I$5,task_start&lt;J$5)</formula>
    </cfRule>
  </conditionalFormatting>
  <conditionalFormatting sqref="P6:T6">
    <cfRule type="expression" dxfId="4" priority="43">
      <formula>AND(TODAY()&gt;=Q$5,TODAY()&lt;R$5)</formula>
    </cfRule>
  </conditionalFormatting>
  <conditionalFormatting sqref="U6">
    <cfRule type="expression" dxfId="3" priority="2">
      <formula>AND(TODAY()&gt;=U$5,TODAY()&lt;V$5)</formula>
    </cfRule>
  </conditionalFormatting>
  <conditionalFormatting sqref="V5:V44">
    <cfRule type="expression" dxfId="2" priority="45">
      <formula>AND(TODAY()&gt;=V$5,TODAY()&lt;#REF!)</formula>
    </cfRule>
  </conditionalFormatting>
  <conditionalFormatting sqref="V7:V44">
    <cfRule type="expression" dxfId="1" priority="51">
      <formula>AND(task_start&lt;=V$5,ROUNDDOWN((task_end-task_start+1)*task_progress,0)+task_start-1&gt;=V$5)</formula>
    </cfRule>
    <cfRule type="expression" dxfId="0" priority="52" stopIfTrue="1">
      <formula>AND(task_end&gt;=V$5,task_start&lt;#REF!)</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D42:D44 D7:D40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3.15"/>
  <cols>
    <col min="1" max="1" width="87.140625" style="47" customWidth="1"/>
    <col min="2" max="16384" width="9.140625" style="2"/>
  </cols>
  <sheetData>
    <row r="1" spans="1:2" ht="46.5" customHeight="1"/>
    <row r="2" spans="1:2" s="49" customFormat="1" ht="15.75">
      <c r="A2" s="48" t="s">
        <v>2</v>
      </c>
      <c r="B2" s="48"/>
    </row>
    <row r="3" spans="1:2" s="53" customFormat="1" ht="27" customHeight="1">
      <c r="A3" s="83" t="s">
        <v>5</v>
      </c>
      <c r="B3" s="54"/>
    </row>
    <row r="4" spans="1:2" s="50" customFormat="1" ht="25.5">
      <c r="A4" s="51" t="s">
        <v>90</v>
      </c>
    </row>
    <row r="5" spans="1:2" ht="74.099999999999994" customHeight="1">
      <c r="A5" s="52" t="s">
        <v>91</v>
      </c>
    </row>
    <row r="6" spans="1:2" ht="26.25" customHeight="1">
      <c r="A6" s="51" t="s">
        <v>92</v>
      </c>
    </row>
    <row r="7" spans="1:2" s="47" customFormat="1" ht="204.95" customHeight="1">
      <c r="A7" s="56" t="s">
        <v>93</v>
      </c>
    </row>
    <row r="8" spans="1:2" s="50" customFormat="1" ht="25.5">
      <c r="A8" s="51" t="s">
        <v>94</v>
      </c>
    </row>
    <row r="9" spans="1:2" ht="42.75">
      <c r="A9" s="52" t="s">
        <v>95</v>
      </c>
    </row>
    <row r="10" spans="1:2" s="47" customFormat="1" ht="27.95" customHeight="1">
      <c r="A10" s="55" t="s">
        <v>96</v>
      </c>
    </row>
    <row r="11" spans="1:2" s="50" customFormat="1" ht="25.5">
      <c r="A11" s="51" t="s">
        <v>97</v>
      </c>
    </row>
    <row r="12" spans="1:2" ht="28.5">
      <c r="A12" s="52" t="s">
        <v>98</v>
      </c>
    </row>
    <row r="13" spans="1:2" s="47" customFormat="1" ht="27.95" customHeight="1">
      <c r="A13" s="55" t="s">
        <v>99</v>
      </c>
    </row>
    <row r="14" spans="1:2" s="50" customFormat="1" ht="25.5">
      <c r="A14" s="51" t="s">
        <v>100</v>
      </c>
    </row>
    <row r="15" spans="1:2" ht="75" customHeight="1">
      <c r="A15" s="52" t="s">
        <v>101</v>
      </c>
    </row>
    <row r="16" spans="1:2" ht="57">
      <c r="A16" s="52" t="s">
        <v>102</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EE9DDCD58C8B4C9D31B1D02FAFF520" ma:contentTypeVersion="9" ma:contentTypeDescription="Een nieuw document maken." ma:contentTypeScope="" ma:versionID="b72ff46603e6052c7f9caa85141fccf2">
  <xsd:schema xmlns:xsd="http://www.w3.org/2001/XMLSchema" xmlns:xs="http://www.w3.org/2001/XMLSchema" xmlns:p="http://schemas.microsoft.com/office/2006/metadata/properties" xmlns:ns2="84b6a628-470e-430a-9750-99dd65082d4c" targetNamespace="http://schemas.microsoft.com/office/2006/metadata/properties" ma:root="true" ma:fieldsID="6159a17a2d03d7c388414b3584fc1dd8" ns2:_="">
    <xsd:import namespace="84b6a628-470e-430a-9750-99dd65082d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b6a628-470e-430a-9750-99dd65082d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EA31C8-4CD2-404A-8E21-36D226B99D90}"/>
</file>

<file path=customXml/itemProps2.xml><?xml version="1.0" encoding="utf-8"?>
<ds:datastoreItem xmlns:ds="http://schemas.openxmlformats.org/officeDocument/2006/customXml" ds:itemID="{CC8A27AC-DE5B-4A93-8822-D8C128003878}"/>
</file>

<file path=customXml/itemProps3.xml><?xml version="1.0" encoding="utf-8"?>
<ds:datastoreItem xmlns:ds="http://schemas.openxmlformats.org/officeDocument/2006/customXml" ds:itemID="{A34EC133-177F-414D-88B3-17CE212579BE}"/>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Giorgio Basile</cp:lastModifiedBy>
  <cp:revision/>
  <dcterms:created xsi:type="dcterms:W3CDTF">2022-03-29T12:20:41Z</dcterms:created>
  <dcterms:modified xsi:type="dcterms:W3CDTF">2022-04-08T09:41:39Z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0x01010065EE9DDCD58C8B4C9D31B1D02FAFF520</vt:lpwstr>
  </property>
</Properties>
</file>